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otter\Desktop\Lu\"/>
    </mc:Choice>
  </mc:AlternateContent>
  <xr:revisionPtr revIDLastSave="0" documentId="13_ncr:20001_{78FFA440-C519-46F5-BB13-E8C503799361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APP" sheetId="1" r:id="rId1"/>
    <sheet name="Planilha2" sheetId="2" state="hidden" r:id="rId2"/>
  </sheets>
  <definedNames>
    <definedName name="aporte">APP!$D$9</definedName>
    <definedName name="qtde_anos">APP!$D$10</definedName>
    <definedName name="rendimento_carteira">APP!$D$3</definedName>
    <definedName name="salario">APP!$D$4</definedName>
    <definedName name="sugestao_investimento">APP!$D$6</definedName>
    <definedName name="taxa_mensal">APP!$D$11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21" i="2" l="1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C31" i="1"/>
  <c r="C30" i="1"/>
  <c r="C29" i="1"/>
  <c r="C28" i="1"/>
  <c r="C27" i="1"/>
  <c r="C26" i="1"/>
  <c r="C23" i="1"/>
  <c r="C20" i="1"/>
  <c r="D20" i="1" s="1"/>
  <c r="C19" i="1"/>
  <c r="D19" i="1" s="1"/>
  <c r="C18" i="1"/>
  <c r="D18" i="1" s="1"/>
  <c r="C17" i="1"/>
  <c r="D17" i="1" s="1"/>
  <c r="C16" i="1"/>
  <c r="D16" i="1" s="1"/>
  <c r="D12" i="1"/>
  <c r="D13" i="1" s="1"/>
  <c r="D6" i="1"/>
  <c r="D26" i="1" l="1"/>
  <c r="D27" i="1"/>
  <c r="D28" i="1"/>
  <c r="D29" i="1"/>
  <c r="D30" i="1"/>
  <c r="D31" i="1"/>
  <c r="D32" i="1" l="1"/>
</calcChain>
</file>

<file path=xl/sharedStrings.xml><?xml version="1.0" encoding="utf-8"?>
<sst xmlns="http://schemas.openxmlformats.org/spreadsheetml/2006/main" count="69" uniqueCount="33">
  <si>
    <t>CONFIGURAÇÕES</t>
  </si>
  <si>
    <t>Salário</t>
  </si>
  <si>
    <t>Rendimento da Carteira</t>
  </si>
  <si>
    <t>Sugestão de Investimento (30%)</t>
  </si>
  <si>
    <t>INVESTIMENTO MENSAL</t>
  </si>
  <si>
    <t>Quanto investir por mês?</t>
  </si>
  <si>
    <t>Por quantos anos?</t>
  </si>
  <si>
    <t>Taxa de rendimento mensal?</t>
  </si>
  <si>
    <t>Patrimonio acumulado?</t>
  </si>
  <si>
    <t>Dividendos mensais?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</si>
  <si>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</si>
  <si>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</si>
  <si>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</si>
  <si>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</si>
  <si>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</si>
  <si>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</si>
  <si>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</si>
  <si>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</si>
  <si>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Moderado</t>
  </si>
  <si>
    <t>VALOR A SER INVESTIDO POR MÊS</t>
  </si>
  <si>
    <t>TIPO DE FII</t>
  </si>
  <si>
    <t>Percentural Sugerido</t>
  </si>
  <si>
    <t>Valores</t>
  </si>
  <si>
    <t>PAPEL</t>
  </si>
  <si>
    <t>TIJOLO</t>
  </si>
  <si>
    <t>HÍBRIDO</t>
  </si>
  <si>
    <t>FOFs</t>
  </si>
  <si>
    <t>DESENVOLVIMENTO</t>
  </si>
  <si>
    <t>HOTELARIAS</t>
  </si>
  <si>
    <t>CHAVE</t>
  </si>
  <si>
    <t>%</t>
  </si>
  <si>
    <t>Conservador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</si>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</sst>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R$-416]\ #,##0.00;[Red]\-[$R$-416]\ #,##0.00"/>
    <numFmt numFmtId="166" formatCode="&quot;R$&quot;\ #,##0.00"/>
  </numFmts>
  <fonts count="12" x14ac:knownFonts="1">
    <font>
      <sz val="10"/>
      <name val="Arial"/>
      <family val="2"/>
      <charset val="1"/>
    </font>
    <font>
      <sz val="10"/>
      <name val="Arial"/>
    </font>
    <font>
      <sz val="10"/>
      <name val="Segoe UI"/>
      <family val="2"/>
      <charset val="1"/>
    </font>
    <font>
      <sz val="10"/>
      <color rgb="FFFFFFFF"/>
      <name val="Arial"/>
      <family val="2"/>
      <charset val="1"/>
    </font>
    <font>
      <b/>
      <sz val="10"/>
      <name val="Arial"/>
      <family val="2"/>
    </font>
    <font>
      <sz val="10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sz val="10"/>
      <color rgb="FFFFFFFF"/>
      <name val="Segoe UI"/>
      <family val="2"/>
    </font>
    <font>
      <b/>
      <sz val="14"/>
      <color rgb="FFFFFFFF"/>
      <name val="Segoe UI"/>
      <family val="2"/>
    </font>
    <font>
      <b/>
      <sz val="10"/>
      <name val="Segoe UI"/>
      <family val="2"/>
    </font>
    <font>
      <sz val="14"/>
      <color theme="2" tint="-0.74999237037263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DDDDDD"/>
        <bgColor rgb="FFCCCCCC"/>
      </patternFill>
    </fill>
    <fill>
      <patternFill patternType="solid">
        <fgColor rgb="FFCCCCCC"/>
        <bgColor rgb="FFDDDDDD"/>
      </patternFill>
    </fill>
    <fill>
      <patternFill patternType="solid">
        <fgColor rgb="FF000000"/>
        <bgColor rgb="FF003300"/>
      </patternFill>
    </fill>
    <fill>
      <patternFill patternType="solid">
        <fgColor theme="9" tint="0.39997558519241921"/>
        <bgColor rgb="FFFFCC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rgb="FFFFD320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0"/>
      </bottom>
      <diagonal/>
    </border>
    <border>
      <left style="hair">
        <color auto="1"/>
      </left>
      <right style="hair">
        <color auto="1"/>
      </right>
      <top style="thin">
        <color theme="0"/>
      </top>
      <bottom style="thin">
        <color theme="0"/>
      </bottom>
      <diagonal/>
    </border>
    <border>
      <left style="hair">
        <color auto="1"/>
      </left>
      <right style="thin">
        <color theme="0"/>
      </right>
      <top style="thin">
        <color theme="0"/>
      </top>
      <bottom style="hair">
        <color auto="1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0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/>
      </left>
      <right style="thin">
        <color theme="0" tint="-0.14996795556505021"/>
      </right>
      <top style="thin">
        <color theme="0" tint="-0.14996795556505021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theme="0"/>
      </top>
      <bottom style="hair">
        <color auto="1"/>
      </bottom>
      <diagonal/>
    </border>
    <border>
      <left style="thin">
        <color theme="0"/>
      </left>
      <right style="hair">
        <color auto="1"/>
      </right>
      <top style="hair">
        <color auto="1"/>
      </top>
      <bottom style="thin">
        <color theme="0"/>
      </bottom>
      <diagonal/>
    </border>
    <border>
      <left style="hair">
        <color auto="1"/>
      </left>
      <right style="thin">
        <color theme="0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hair">
        <color auto="1"/>
      </top>
      <bottom style="thin">
        <color theme="0"/>
      </bottom>
      <diagonal/>
    </border>
    <border>
      <left style="thin">
        <color theme="0"/>
      </left>
      <right style="medium">
        <color theme="2" tint="-0.24994659260841701"/>
      </right>
      <top style="thin">
        <color theme="0"/>
      </top>
      <bottom style="medium">
        <color theme="2" tint="-0.24994659260841701"/>
      </bottom>
      <diagonal/>
    </border>
    <border>
      <left style="medium">
        <color theme="2" tint="-0.24994659260841701"/>
      </left>
      <right style="medium">
        <color theme="2" tint="-0.24994659260841701"/>
      </right>
      <top style="thin">
        <color theme="0"/>
      </top>
      <bottom style="medium">
        <color theme="2" tint="-0.24994659260841701"/>
      </bottom>
      <diagonal/>
    </border>
    <border>
      <left style="medium">
        <color theme="2" tint="-0.24994659260841701"/>
      </left>
      <right style="thin">
        <color theme="0"/>
      </right>
      <top style="thin">
        <color theme="0"/>
      </top>
      <bottom style="medium">
        <color theme="2" tint="-0.24994659260841701"/>
      </bottom>
      <diagonal/>
    </border>
    <border>
      <left style="thin">
        <color theme="0"/>
      </left>
      <right style="thin">
        <color theme="2" tint="-0.24994659260841701"/>
      </right>
      <top style="medium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0"/>
      </right>
      <top style="medium">
        <color theme="2" tint="-0.24994659260841701"/>
      </top>
      <bottom style="thin">
        <color theme="2" tint="-0.24994659260841701"/>
      </bottom>
      <diagonal/>
    </border>
    <border>
      <left style="thin">
        <color theme="0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0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/>
      </left>
      <right style="thin">
        <color theme="2" tint="-0.24994659260841701"/>
      </right>
      <top style="thin">
        <color theme="2" tint="-0.24994659260841701"/>
      </top>
      <bottom style="thin">
        <color theme="0"/>
      </bottom>
      <diagonal/>
    </border>
    <border>
      <left style="thin">
        <color theme="2" tint="-0.24994659260841701"/>
      </left>
      <right style="thin">
        <color theme="0"/>
      </right>
      <top style="thin">
        <color theme="2" tint="-0.24994659260841701"/>
      </top>
      <bottom style="thin">
        <color theme="0"/>
      </bottom>
      <diagonal/>
    </border>
    <border>
      <left style="medium">
        <color theme="0"/>
      </left>
      <right style="medium">
        <color theme="0" tint="-0.14996795556505021"/>
      </right>
      <top style="medium">
        <color theme="0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/>
      </top>
      <bottom/>
      <diagonal/>
    </border>
    <border>
      <left style="medium">
        <color theme="0" tint="-0.14996795556505021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 tint="-0.14996795556505021"/>
      </right>
      <top style="thin">
        <color theme="0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/>
      </right>
      <top style="thin">
        <color theme="0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/>
      </bottom>
      <diagonal/>
    </border>
    <border>
      <left style="thin">
        <color theme="0" tint="-0.14996795556505021"/>
      </left>
      <right style="thin">
        <color theme="0"/>
      </right>
      <top style="thin">
        <color theme="0" tint="-0.1499679555650502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5" fillId="0" borderId="0" xfId="0" applyFont="1" applyProtection="1"/>
    <xf numFmtId="0" fontId="5" fillId="9" borderId="0" xfId="0" applyFont="1" applyFill="1" applyAlignment="1" applyProtection="1">
      <alignment horizontal="center"/>
    </xf>
    <xf numFmtId="0" fontId="9" fillId="7" borderId="13" xfId="0" applyFont="1" applyFill="1" applyBorder="1" applyAlignment="1" applyProtection="1">
      <alignment horizontal="center" vertical="center"/>
    </xf>
    <xf numFmtId="0" fontId="9" fillId="7" borderId="14" xfId="0" applyFont="1" applyFill="1" applyBorder="1" applyAlignment="1" applyProtection="1">
      <alignment horizontal="center" vertical="center"/>
    </xf>
    <xf numFmtId="0" fontId="9" fillId="7" borderId="5" xfId="0" applyFont="1" applyFill="1" applyBorder="1" applyAlignment="1" applyProtection="1">
      <alignment horizontal="center" vertical="center"/>
    </xf>
    <xf numFmtId="0" fontId="6" fillId="2" borderId="15" xfId="0" applyFont="1" applyFill="1" applyBorder="1" applyAlignment="1" applyProtection="1">
      <alignment horizontal="left" vertical="center" indent="6"/>
    </xf>
    <xf numFmtId="0" fontId="6" fillId="2" borderId="3" xfId="0" applyFont="1" applyFill="1" applyBorder="1" applyAlignment="1" applyProtection="1">
      <alignment horizontal="left" vertical="center" indent="6"/>
    </xf>
    <xf numFmtId="0" fontId="6" fillId="2" borderId="17" xfId="0" applyFont="1" applyFill="1" applyBorder="1" applyAlignment="1" applyProtection="1">
      <alignment horizontal="left" vertical="center" indent="6"/>
    </xf>
    <xf numFmtId="0" fontId="6" fillId="2" borderId="4" xfId="0" applyFont="1" applyFill="1" applyBorder="1" applyAlignment="1" applyProtection="1">
      <alignment horizontal="left" vertical="center" indent="6"/>
    </xf>
    <xf numFmtId="0" fontId="6" fillId="2" borderId="2" xfId="0" applyFont="1" applyFill="1" applyBorder="1" applyAlignment="1" applyProtection="1">
      <alignment horizontal="left" vertical="center" indent="6"/>
    </xf>
    <xf numFmtId="164" fontId="6" fillId="2" borderId="18" xfId="0" applyNumberFormat="1" applyFont="1" applyFill="1" applyBorder="1" applyAlignment="1" applyProtection="1">
      <alignment horizontal="center" vertical="center"/>
    </xf>
    <xf numFmtId="0" fontId="9" fillId="8" borderId="19" xfId="0" applyFont="1" applyFill="1" applyBorder="1" applyAlignment="1" applyProtection="1">
      <alignment horizontal="center" vertical="center"/>
    </xf>
    <xf numFmtId="0" fontId="9" fillId="8" borderId="20" xfId="0" applyFont="1" applyFill="1" applyBorder="1" applyAlignment="1" applyProtection="1">
      <alignment horizontal="center" vertical="center"/>
    </xf>
    <xf numFmtId="0" fontId="9" fillId="8" borderId="21" xfId="0" applyFont="1" applyFill="1" applyBorder="1" applyAlignment="1" applyProtection="1">
      <alignment horizontal="center" vertical="center"/>
    </xf>
    <xf numFmtId="0" fontId="6" fillId="0" borderId="22" xfId="0" applyFont="1" applyBorder="1" applyAlignment="1" applyProtection="1">
      <alignment horizontal="left" vertical="center" indent="6"/>
    </xf>
    <xf numFmtId="0" fontId="6" fillId="0" borderId="6" xfId="0" applyFont="1" applyBorder="1" applyAlignment="1" applyProtection="1">
      <alignment horizontal="left" vertical="center" indent="6"/>
    </xf>
    <xf numFmtId="0" fontId="6" fillId="0" borderId="24" xfId="0" applyFont="1" applyBorder="1" applyAlignment="1" applyProtection="1">
      <alignment horizontal="left" vertical="center" indent="6"/>
    </xf>
    <xf numFmtId="0" fontId="6" fillId="0" borderId="7" xfId="0" applyFont="1" applyBorder="1" applyAlignment="1" applyProtection="1">
      <alignment horizontal="left" vertical="center" indent="6"/>
    </xf>
    <xf numFmtId="0" fontId="6" fillId="0" borderId="26" xfId="0" applyFont="1" applyBorder="1" applyAlignment="1" applyProtection="1">
      <alignment horizontal="left" vertical="center" indent="6"/>
    </xf>
    <xf numFmtId="0" fontId="6" fillId="0" borderId="8" xfId="0" applyFont="1" applyBorder="1" applyAlignment="1" applyProtection="1">
      <alignment horizontal="left" vertical="center" indent="6"/>
    </xf>
    <xf numFmtId="0" fontId="7" fillId="2" borderId="2" xfId="0" applyFont="1" applyFill="1" applyBorder="1" applyAlignment="1" applyProtection="1">
      <alignment horizontal="left" vertical="center" indent="6"/>
    </xf>
    <xf numFmtId="166" fontId="4" fillId="6" borderId="2" xfId="1" applyNumberFormat="1" applyFont="1" applyFill="1" applyBorder="1" applyAlignment="1" applyProtection="1">
      <alignment horizontal="center" vertical="center"/>
    </xf>
    <xf numFmtId="0" fontId="9" fillId="8" borderId="28" xfId="0" applyFont="1" applyFill="1" applyBorder="1" applyAlignment="1" applyProtection="1">
      <alignment horizontal="center" vertical="center"/>
    </xf>
    <xf numFmtId="0" fontId="9" fillId="8" borderId="29" xfId="0" applyFont="1" applyFill="1" applyBorder="1" applyAlignment="1" applyProtection="1">
      <alignment horizontal="center" vertical="center"/>
    </xf>
    <xf numFmtId="0" fontId="9" fillId="8" borderId="30" xfId="0" applyFont="1" applyFill="1" applyBorder="1" applyAlignment="1" applyProtection="1">
      <alignment horizontal="center" vertical="center"/>
    </xf>
    <xf numFmtId="0" fontId="8" fillId="0" borderId="0" xfId="0" applyFont="1" applyProtection="1"/>
    <xf numFmtId="0" fontId="6" fillId="2" borderId="31" xfId="0" applyFont="1" applyFill="1" applyBorder="1" applyAlignment="1" applyProtection="1">
      <alignment horizontal="left" vertical="center" indent="6"/>
    </xf>
    <xf numFmtId="164" fontId="6" fillId="2" borderId="2" xfId="0" applyNumberFormat="1" applyFont="1" applyFill="1" applyBorder="1" applyAlignment="1" applyProtection="1">
      <alignment horizontal="center" vertical="center"/>
    </xf>
    <xf numFmtId="164" fontId="6" fillId="2" borderId="32" xfId="0" applyNumberFormat="1" applyFont="1" applyFill="1" applyBorder="1" applyAlignment="1" applyProtection="1">
      <alignment vertical="center"/>
    </xf>
    <xf numFmtId="0" fontId="6" fillId="2" borderId="33" xfId="0" applyFont="1" applyFill="1" applyBorder="1" applyAlignment="1" applyProtection="1">
      <alignment horizontal="left" vertical="center" indent="6"/>
    </xf>
    <xf numFmtId="164" fontId="6" fillId="2" borderId="34" xfId="0" applyNumberFormat="1" applyFont="1" applyFill="1" applyBorder="1" applyAlignment="1" applyProtection="1">
      <alignment horizontal="center" vertical="center"/>
    </xf>
    <xf numFmtId="164" fontId="6" fillId="2" borderId="35" xfId="0" applyNumberFormat="1" applyFont="1" applyFill="1" applyBorder="1" applyAlignment="1" applyProtection="1">
      <alignment vertical="center"/>
    </xf>
    <xf numFmtId="0" fontId="11" fillId="5" borderId="36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10" fillId="0" borderId="12" xfId="0" applyFont="1" applyBorder="1" applyAlignment="1" applyProtection="1">
      <alignment vertical="center"/>
    </xf>
    <xf numFmtId="166" fontId="10" fillId="0" borderId="39" xfId="1" applyNumberFormat="1" applyFont="1" applyBorder="1" applyAlignment="1" applyProtection="1">
      <alignment horizontal="center" vertical="center"/>
    </xf>
    <xf numFmtId="166" fontId="10" fillId="0" borderId="40" xfId="1" applyNumberFormat="1" applyFont="1" applyBorder="1" applyAlignment="1" applyProtection="1">
      <alignment horizontal="center" vertical="center"/>
    </xf>
    <xf numFmtId="0" fontId="10" fillId="3" borderId="41" xfId="0" applyFont="1" applyFill="1" applyBorder="1" applyAlignment="1" applyProtection="1">
      <alignment horizontal="center" vertical="center"/>
    </xf>
    <xf numFmtId="0" fontId="10" fillId="3" borderId="2" xfId="0" applyFont="1" applyFill="1" applyBorder="1" applyAlignment="1" applyProtection="1">
      <alignment horizontal="center" vertical="center"/>
    </xf>
    <xf numFmtId="0" fontId="5" fillId="0" borderId="42" xfId="0" applyFont="1" applyBorder="1" applyAlignment="1" applyProtection="1">
      <alignment horizontal="center" vertical="center"/>
    </xf>
    <xf numFmtId="9" fontId="5" fillId="0" borderId="9" xfId="0" applyNumberFormat="1" applyFont="1" applyBorder="1" applyAlignment="1" applyProtection="1">
      <alignment horizontal="center" vertical="center"/>
    </xf>
    <xf numFmtId="164" fontId="5" fillId="3" borderId="43" xfId="0" applyNumberFormat="1" applyFont="1" applyFill="1" applyBorder="1" applyAlignment="1" applyProtection="1">
      <alignment vertical="center"/>
    </xf>
    <xf numFmtId="0" fontId="5" fillId="0" borderId="44" xfId="0" applyFont="1" applyBorder="1" applyAlignment="1" applyProtection="1">
      <alignment horizontal="center" vertical="center"/>
    </xf>
    <xf numFmtId="9" fontId="5" fillId="0" borderId="10" xfId="0" applyNumberFormat="1" applyFont="1" applyBorder="1" applyAlignment="1" applyProtection="1">
      <alignment horizontal="center" vertical="center"/>
    </xf>
    <xf numFmtId="0" fontId="5" fillId="0" borderId="44" xfId="0" applyFont="1" applyBorder="1" applyAlignment="1" applyProtection="1">
      <alignment horizontal="center"/>
    </xf>
    <xf numFmtId="0" fontId="5" fillId="0" borderId="45" xfId="0" applyFont="1" applyBorder="1" applyAlignment="1" applyProtection="1">
      <alignment horizontal="center" vertical="center"/>
    </xf>
    <xf numFmtId="9" fontId="5" fillId="0" borderId="11" xfId="0" applyNumberFormat="1" applyFont="1" applyBorder="1" applyAlignment="1" applyProtection="1">
      <alignment horizontal="center" vertical="center"/>
    </xf>
    <xf numFmtId="0" fontId="5" fillId="3" borderId="46" xfId="0" applyFont="1" applyFill="1" applyBorder="1" applyAlignment="1" applyProtection="1">
      <alignment horizontal="center" vertical="center"/>
    </xf>
    <xf numFmtId="0" fontId="5" fillId="3" borderId="47" xfId="0" applyFont="1" applyFill="1" applyBorder="1" applyProtection="1"/>
    <xf numFmtId="164" fontId="10" fillId="3" borderId="43" xfId="0" applyNumberFormat="1" applyFont="1" applyFill="1" applyBorder="1" applyProtection="1"/>
    <xf numFmtId="164" fontId="6" fillId="0" borderId="16" xfId="0" applyNumberFormat="1" applyFont="1" applyBorder="1" applyAlignment="1" applyProtection="1">
      <alignment horizontal="center" vertical="center"/>
      <protection locked="0"/>
    </xf>
    <xf numFmtId="10" fontId="6" fillId="0" borderId="16" xfId="0" applyNumberFormat="1" applyFont="1" applyBorder="1" applyAlignment="1" applyProtection="1">
      <alignment horizontal="center" vertical="center"/>
      <protection locked="0"/>
    </xf>
    <xf numFmtId="166" fontId="4" fillId="0" borderId="23" xfId="1" applyNumberFormat="1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10" fontId="7" fillId="0" borderId="27" xfId="0" applyNumberFormat="1" applyFont="1" applyBorder="1" applyAlignment="1" applyProtection="1">
      <alignment horizontal="center" vertical="center"/>
      <protection locked="0"/>
    </xf>
    <xf numFmtId="0" fontId="11" fillId="5" borderId="37" xfId="0" applyFont="1" applyFill="1" applyBorder="1" applyAlignment="1" applyProtection="1">
      <alignment horizontal="center" vertical="center"/>
      <protection locked="0"/>
    </xf>
    <xf numFmtId="0" fontId="11" fillId="5" borderId="38" xfId="0" applyFont="1" applyFill="1" applyBorder="1" applyAlignment="1" applyProtection="1">
      <alignment horizontal="center" vertical="center"/>
      <protection locked="0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D320"/>
      <rgbColor rgb="FFFF00FF"/>
      <rgbColor rgb="FF00FFFF"/>
      <rgbColor rgb="FF7E0021"/>
      <rgbColor rgb="FF00A933"/>
      <rgbColor rgb="FF000080"/>
      <rgbColor rgb="FF808000"/>
      <rgbColor rgb="FFBF0041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83CA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BFF9C"/>
      <color rgb="FF00E2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APP!$C$25</c:f>
              <c:strCache>
                <c:ptCount val="1"/>
                <c:pt idx="0">
                  <c:v>Percentural Sugerido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dPt>
            <c:idx val="0"/>
            <c:bubble3D val="0"/>
            <c:spPr>
              <a:solidFill>
                <a:srgbClr val="004586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35D7-4BD8-8579-49FE5C9A3A9F}"/>
              </c:ext>
            </c:extLst>
          </c:dPt>
          <c:dPt>
            <c:idx val="1"/>
            <c:bubble3D val="0"/>
            <c:spPr>
              <a:solidFill>
                <a:srgbClr val="FF420E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35D7-4BD8-8579-49FE5C9A3A9F}"/>
              </c:ext>
            </c:extLst>
          </c:dPt>
          <c:dPt>
            <c:idx val="2"/>
            <c:bubble3D val="0"/>
            <c:spPr>
              <a:solidFill>
                <a:srgbClr val="FFD32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35D7-4BD8-8579-49FE5C9A3A9F}"/>
              </c:ext>
            </c:extLst>
          </c:dPt>
          <c:dPt>
            <c:idx val="3"/>
            <c:bubble3D val="0"/>
            <c:spPr>
              <a:solidFill>
                <a:srgbClr val="579D1C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35D7-4BD8-8579-49FE5C9A3A9F}"/>
              </c:ext>
            </c:extLst>
          </c:dPt>
          <c:dPt>
            <c:idx val="4"/>
            <c:bubble3D val="0"/>
            <c:spPr>
              <a:solidFill>
                <a:srgbClr val="7E0021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9-35D7-4BD8-8579-49FE5C9A3A9F}"/>
              </c:ext>
            </c:extLst>
          </c:dPt>
          <c:dPt>
            <c:idx val="5"/>
            <c:bubble3D val="0"/>
            <c:spPr>
              <a:solidFill>
                <a:srgbClr val="83CAFF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B-35D7-4BD8-8579-49FE5C9A3A9F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5D7-4BD8-8579-49FE5C9A3A9F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5D7-4BD8-8579-49FE5C9A3A9F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5D7-4BD8-8579-49FE5C9A3A9F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35D7-4BD8-8579-49FE5C9A3A9F}"/>
                </c:ext>
              </c:extLst>
            </c:dLbl>
            <c:dLbl>
              <c:idx val="4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35D7-4BD8-8579-49FE5C9A3A9F}"/>
                </c:ext>
              </c:extLst>
            </c:dLbl>
            <c:dLbl>
              <c:idx val="5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35D7-4BD8-8579-49FE5C9A3A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APP!$B$26:$B$31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APP!$C$26:$C$31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5D7-4BD8-8579-49FE5C9A3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22680</xdr:colOff>
      <xdr:row>32</xdr:row>
      <xdr:rowOff>114840</xdr:rowOff>
    </xdr:from>
    <xdr:to>
      <xdr:col>4</xdr:col>
      <xdr:colOff>21240</xdr:colOff>
      <xdr:row>48</xdr:row>
      <xdr:rowOff>16560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22860</xdr:colOff>
      <xdr:row>0</xdr:row>
      <xdr:rowOff>53340</xdr:rowOff>
    </xdr:from>
    <xdr:to>
      <xdr:col>4</xdr:col>
      <xdr:colOff>30480</xdr:colOff>
      <xdr:row>0</xdr:row>
      <xdr:rowOff>1805940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2AC2E2F0-4064-E753-1DB9-44DD7FE26091}"/>
            </a:ext>
          </a:extLst>
        </xdr:cNvPr>
        <xdr:cNvSpPr/>
      </xdr:nvSpPr>
      <xdr:spPr>
        <a:xfrm>
          <a:off x="472440" y="53340"/>
          <a:ext cx="6865620" cy="1752600"/>
        </a:xfrm>
        <a:prstGeom prst="roundRect">
          <a:avLst/>
        </a:prstGeom>
        <a:solidFill>
          <a:srgbClr val="4BFF9C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0" cap="none" spc="0">
            <a:ln w="0"/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1</xdr:col>
      <xdr:colOff>2255520</xdr:colOff>
      <xdr:row>0</xdr:row>
      <xdr:rowOff>480060</xdr:rowOff>
    </xdr:from>
    <xdr:to>
      <xdr:col>3</xdr:col>
      <xdr:colOff>1051560</xdr:colOff>
      <xdr:row>0</xdr:row>
      <xdr:rowOff>1211580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CF1356A-D815-B6A8-176A-69AC0F286482}"/>
            </a:ext>
          </a:extLst>
        </xdr:cNvPr>
        <xdr:cNvSpPr txBox="1"/>
      </xdr:nvSpPr>
      <xdr:spPr>
        <a:xfrm>
          <a:off x="2705100" y="480060"/>
          <a:ext cx="4404360" cy="731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4000" b="1">
              <a:solidFill>
                <a:schemeClr val="bg1"/>
              </a:solidFill>
              <a:latin typeface="Century" panose="02040604050505020304" pitchFamily="18" charset="0"/>
            </a:rPr>
            <a:t>MONEY</a:t>
          </a:r>
          <a:r>
            <a:rPr lang="pt-BR" sz="4000" b="1" baseline="0">
              <a:solidFill>
                <a:schemeClr val="bg1"/>
              </a:solidFill>
              <a:latin typeface="Century" panose="02040604050505020304" pitchFamily="18" charset="0"/>
            </a:rPr>
            <a:t> INVEST</a:t>
          </a:r>
          <a:endParaRPr lang="pt-BR" sz="4000" b="1">
            <a:solidFill>
              <a:schemeClr val="bg1"/>
            </a:solidFill>
            <a:latin typeface="Century" panose="02040604050505020304" pitchFamily="18" charset="0"/>
          </a:endParaRPr>
        </a:p>
      </xdr:txBody>
    </xdr:sp>
    <xdr:clientData/>
  </xdr:twoCellAnchor>
  <xdr:twoCellAnchor editAs="oneCell">
    <xdr:from>
      <xdr:col>1</xdr:col>
      <xdr:colOff>403860</xdr:colOff>
      <xdr:row>0</xdr:row>
      <xdr:rowOff>121920</xdr:rowOff>
    </xdr:from>
    <xdr:to>
      <xdr:col>1</xdr:col>
      <xdr:colOff>1920240</xdr:colOff>
      <xdr:row>0</xdr:row>
      <xdr:rowOff>1638300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46E28C06-818F-20D3-D613-0AAB21E49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" y="121920"/>
          <a:ext cx="1516380" cy="1516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3"/>
  <sheetViews>
    <sheetView showGridLines="0" tabSelected="1" topLeftCell="A7" zoomScaleNormal="100" workbookViewId="0">
      <selection activeCell="C22" sqref="C22:D22"/>
    </sheetView>
  </sheetViews>
  <sheetFormatPr defaultRowHeight="15" x14ac:dyDescent="0.35"/>
  <cols>
    <col min="1" max="1" width="6.5546875" style="9" customWidth="1"/>
    <col min="2" max="2" width="47.88671875" style="9" customWidth="1"/>
    <col min="3" max="3" width="33.88671875" style="9" customWidth="1"/>
    <col min="4" max="4" width="18.21875" style="9" customWidth="1"/>
    <col min="5" max="8" width="2.77734375" style="9" customWidth="1"/>
    <col min="9" max="9" width="2.77734375" style="9" hidden="1" customWidth="1"/>
    <col min="10" max="1025" width="11.5546875" style="9" hidden="1"/>
    <col min="1026" max="16384" width="8.88671875" style="9"/>
  </cols>
  <sheetData>
    <row r="1" spans="1:4" ht="144" customHeight="1" x14ac:dyDescent="0.35">
      <c r="B1" s="10"/>
      <c r="C1" s="10"/>
      <c r="D1" s="10"/>
    </row>
    <row r="3" spans="1:4" ht="39.6" customHeight="1" x14ac:dyDescent="0.35">
      <c r="B3" s="11" t="s">
        <v>0</v>
      </c>
      <c r="C3" s="12"/>
      <c r="D3" s="13"/>
    </row>
    <row r="4" spans="1:4" ht="16.95" customHeight="1" x14ac:dyDescent="0.35">
      <c r="B4" s="14" t="s">
        <v>1</v>
      </c>
      <c r="C4" s="15"/>
      <c r="D4" s="59">
        <v>3500</v>
      </c>
    </row>
    <row r="5" spans="1:4" ht="16.95" customHeight="1" x14ac:dyDescent="0.35">
      <c r="B5" s="16" t="s">
        <v>2</v>
      </c>
      <c r="C5" s="17"/>
      <c r="D5" s="60">
        <v>0.01</v>
      </c>
    </row>
    <row r="6" spans="1:4" ht="16.95" customHeight="1" x14ac:dyDescent="0.35">
      <c r="B6" s="18" t="s">
        <v>3</v>
      </c>
      <c r="C6" s="18"/>
      <c r="D6" s="19">
        <f>D4*30%</f>
        <v>1050</v>
      </c>
    </row>
    <row r="8" spans="1:4" ht="38.85" customHeight="1" thickBot="1" x14ac:dyDescent="0.4">
      <c r="B8" s="20" t="s">
        <v>4</v>
      </c>
      <c r="C8" s="21"/>
      <c r="D8" s="22"/>
    </row>
    <row r="9" spans="1:4" ht="16.95" customHeight="1" x14ac:dyDescent="0.35">
      <c r="B9" s="23" t="s">
        <v>5</v>
      </c>
      <c r="C9" s="24"/>
      <c r="D9" s="61">
        <v>1050</v>
      </c>
    </row>
    <row r="10" spans="1:4" ht="16.95" customHeight="1" x14ac:dyDescent="0.35">
      <c r="B10" s="25" t="s">
        <v>6</v>
      </c>
      <c r="C10" s="26"/>
      <c r="D10" s="62">
        <v>10</v>
      </c>
    </row>
    <row r="11" spans="1:4" ht="16.95" customHeight="1" x14ac:dyDescent="0.35">
      <c r="B11" s="27" t="s">
        <v>7</v>
      </c>
      <c r="C11" s="28"/>
      <c r="D11" s="63">
        <v>1.0789999999999999E-2</v>
      </c>
    </row>
    <row r="12" spans="1:4" ht="16.95" customHeight="1" x14ac:dyDescent="0.35">
      <c r="B12" s="29" t="s">
        <v>8</v>
      </c>
      <c r="C12" s="29"/>
      <c r="D12" s="30">
        <f>FV(D11,D10*12,D9*-1)</f>
        <v>255448.4231566808</v>
      </c>
    </row>
    <row r="13" spans="1:4" ht="16.95" customHeight="1" x14ac:dyDescent="0.35">
      <c r="B13" s="29" t="s">
        <v>9</v>
      </c>
      <c r="C13" s="29"/>
      <c r="D13" s="30">
        <f>D12*D5</f>
        <v>2554.4842315668079</v>
      </c>
    </row>
    <row r="14" spans="1:4" ht="15.6" thickBot="1" x14ac:dyDescent="0.4"/>
    <row r="15" spans="1:4" ht="39.6" customHeight="1" x14ac:dyDescent="0.35">
      <c r="B15" s="31" t="s">
        <v>10</v>
      </c>
      <c r="C15" s="32"/>
      <c r="D15" s="33" t="s">
        <v>11</v>
      </c>
    </row>
    <row r="16" spans="1:4" ht="16.95" customHeight="1" x14ac:dyDescent="0.35">
      <c r="A16" s="34">
        <v>2</v>
      </c>
      <c r="B16" s="35" t="s">
        <v>12</v>
      </c>
      <c r="C16" s="36">
        <f>FV($D$11,$A16*12,$D$9*-1)</f>
        <v>28589.008662527478</v>
      </c>
      <c r="D16" s="37">
        <f>C16*$D$5</f>
        <v>285.89008662527476</v>
      </c>
    </row>
    <row r="17" spans="1:4" ht="16.95" customHeight="1" x14ac:dyDescent="0.35">
      <c r="A17" s="34">
        <v>5</v>
      </c>
      <c r="B17" s="35" t="s">
        <v>13</v>
      </c>
      <c r="C17" s="36">
        <f>FV($D$11,$A17*12,$D$9*-1)</f>
        <v>87965.759698412032</v>
      </c>
      <c r="D17" s="37">
        <f>C17*$D$5</f>
        <v>879.65759698412035</v>
      </c>
    </row>
    <row r="18" spans="1:4" ht="16.95" customHeight="1" x14ac:dyDescent="0.35">
      <c r="A18" s="34">
        <v>10</v>
      </c>
      <c r="B18" s="35" t="s">
        <v>14</v>
      </c>
      <c r="C18" s="36">
        <f>FV($D$11,$A18*12,$D$9*-1)</f>
        <v>255448.4231566808</v>
      </c>
      <c r="D18" s="37">
        <f>C18*$D$5</f>
        <v>2554.4842315668079</v>
      </c>
    </row>
    <row r="19" spans="1:4" ht="16.95" customHeight="1" x14ac:dyDescent="0.35">
      <c r="A19" s="34">
        <v>20</v>
      </c>
      <c r="B19" s="35" t="s">
        <v>15</v>
      </c>
      <c r="C19" s="36">
        <f>FV($D$11,$A19*12,$D$9*-1)</f>
        <v>1181458.3201019347</v>
      </c>
      <c r="D19" s="37">
        <f>C19*$D$5</f>
        <v>11814.583201019348</v>
      </c>
    </row>
    <row r="20" spans="1:4" ht="16.350000000000001" customHeight="1" thickBot="1" x14ac:dyDescent="0.4">
      <c r="A20" s="34">
        <v>30</v>
      </c>
      <c r="B20" s="38" t="s">
        <v>16</v>
      </c>
      <c r="C20" s="39">
        <f>FV($D$11,$A20*12,$D$9*-1)</f>
        <v>4538278.1377549507</v>
      </c>
      <c r="D20" s="40">
        <f>C20*$D$5</f>
        <v>45382.781377549509</v>
      </c>
    </row>
    <row r="22" spans="1:4" ht="20.100000000000001" customHeight="1" x14ac:dyDescent="0.35">
      <c r="B22" s="41" t="s">
        <v>17</v>
      </c>
      <c r="C22" s="64" t="s">
        <v>18</v>
      </c>
      <c r="D22" s="65"/>
    </row>
    <row r="23" spans="1:4" s="42" customFormat="1" ht="16.95" customHeight="1" x14ac:dyDescent="0.25">
      <c r="B23" s="43" t="s">
        <v>19</v>
      </c>
      <c r="C23" s="44">
        <f>D9</f>
        <v>1050</v>
      </c>
      <c r="D23" s="45"/>
    </row>
    <row r="24" spans="1:4" s="42" customFormat="1" ht="16.95" customHeight="1" x14ac:dyDescent="0.25"/>
    <row r="25" spans="1:4" s="42" customFormat="1" ht="16.95" customHeight="1" x14ac:dyDescent="0.25">
      <c r="B25" s="46" t="s">
        <v>20</v>
      </c>
      <c r="C25" s="46" t="s">
        <v>21</v>
      </c>
      <c r="D25" s="47" t="s">
        <v>22</v>
      </c>
    </row>
    <row r="26" spans="1:4" s="42" customFormat="1" ht="16.95" customHeight="1" x14ac:dyDescent="0.25">
      <c r="B26" s="48" t="s">
        <v>23</v>
      </c>
      <c r="C26" s="49">
        <f>VLOOKUP($C$22&amp;"-"&amp;B26,Planilha2!$A:$D,4,0)</f>
        <v>0.32</v>
      </c>
      <c r="D26" s="50">
        <f t="shared" ref="D26:D31" si="0">C26*$C$23</f>
        <v>336</v>
      </c>
    </row>
    <row r="27" spans="1:4" s="42" customFormat="1" x14ac:dyDescent="0.25">
      <c r="B27" s="51" t="s">
        <v>24</v>
      </c>
      <c r="C27" s="52">
        <f>VLOOKUP($C$22&amp;"-"&amp;B27,Planilha2!$A:$D,4,0)</f>
        <v>0.35</v>
      </c>
      <c r="D27" s="50">
        <f t="shared" si="0"/>
        <v>367.5</v>
      </c>
    </row>
    <row r="28" spans="1:4" ht="17.100000000000001" customHeight="1" x14ac:dyDescent="0.35">
      <c r="B28" s="53" t="s">
        <v>25</v>
      </c>
      <c r="C28" s="52">
        <f>VLOOKUP($C$22&amp;"-"&amp;B28,Planilha2!$A:$D,4,0)</f>
        <v>0.08</v>
      </c>
      <c r="D28" s="50">
        <f t="shared" si="0"/>
        <v>84</v>
      </c>
    </row>
    <row r="29" spans="1:4" ht="16.95" customHeight="1" x14ac:dyDescent="0.35">
      <c r="B29" s="51" t="s">
        <v>26</v>
      </c>
      <c r="C29" s="52">
        <f>VLOOKUP($C$22&amp;"-"&amp;B29,Planilha2!$A:$D,4,0)</f>
        <v>0.05</v>
      </c>
      <c r="D29" s="50">
        <f t="shared" si="0"/>
        <v>52.5</v>
      </c>
    </row>
    <row r="30" spans="1:4" ht="16.95" customHeight="1" x14ac:dyDescent="0.35">
      <c r="B30" s="51" t="s">
        <v>27</v>
      </c>
      <c r="C30" s="52">
        <f>VLOOKUP($C$22&amp;"-"&amp;B30,Planilha2!$A:$D,4,0)</f>
        <v>0.1</v>
      </c>
      <c r="D30" s="50">
        <f t="shared" si="0"/>
        <v>105</v>
      </c>
    </row>
    <row r="31" spans="1:4" ht="16.95" customHeight="1" x14ac:dyDescent="0.35">
      <c r="B31" s="54" t="s">
        <v>28</v>
      </c>
      <c r="C31" s="55">
        <f>VLOOKUP($C$22&amp;"-"&amp;B31,Planilha2!$A:$D,4,0)</f>
        <v>0.1</v>
      </c>
      <c r="D31" s="50">
        <f t="shared" si="0"/>
        <v>105</v>
      </c>
    </row>
    <row r="32" spans="1:4" ht="16.95" customHeight="1" x14ac:dyDescent="0.35">
      <c r="B32" s="56"/>
      <c r="C32" s="57"/>
      <c r="D32" s="58">
        <f>SUM(D26:D31)</f>
        <v>1050</v>
      </c>
    </row>
    <row r="33" s="9" customFormat="1" ht="16.95" customHeight="1" x14ac:dyDescent="0.35"/>
  </sheetData>
  <sheetProtection sheet="1" objects="1" scenarios="1" selectLockedCells="1"/>
  <mergeCells count="14">
    <mergeCell ref="B15:C15"/>
    <mergeCell ref="B1:D1"/>
    <mergeCell ref="C22:D22"/>
    <mergeCell ref="C23:D23"/>
    <mergeCell ref="B9:C9"/>
    <mergeCell ref="B10:C10"/>
    <mergeCell ref="B11:C11"/>
    <mergeCell ref="B12:C12"/>
    <mergeCell ref="B13:C13"/>
    <mergeCell ref="B3:D3"/>
    <mergeCell ref="B4:C4"/>
    <mergeCell ref="B5:C5"/>
    <mergeCell ref="B6:C6"/>
    <mergeCell ref="B8:D8"/>
  </mergeCells>
  <dataValidations count="1">
    <dataValidation type="list" operator="equal" allowBlank="1" showErrorMessage="1" sqref="C22" xr:uid="{00000000-0002-0000-0000-000000000000}">
      <formula1>"Conservador,Moderado,Agressivo"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21"/>
  <sheetViews>
    <sheetView zoomScaleNormal="100" workbookViewId="0">
      <selection activeCell="B12" sqref="B12"/>
    </sheetView>
  </sheetViews>
  <sheetFormatPr defaultRowHeight="13.2" x14ac:dyDescent="0.25"/>
  <cols>
    <col min="1" max="1" width="30.33203125" customWidth="1"/>
    <col min="2" max="3" width="18.109375" customWidth="1"/>
    <col min="4" max="1025" width="11.5546875"/>
  </cols>
  <sheetData>
    <row r="3" spans="1:4" x14ac:dyDescent="0.25">
      <c r="A3" s="3" t="s">
        <v>29</v>
      </c>
      <c r="B3" s="3" t="s">
        <v>17</v>
      </c>
      <c r="C3" s="3" t="s">
        <v>20</v>
      </c>
      <c r="D3" s="3" t="s">
        <v>30</v>
      </c>
    </row>
    <row r="4" spans="1:4" s="5" customFormat="1" ht="16.95" customHeight="1" x14ac:dyDescent="0.25">
      <c r="A4" s="4" t="str">
        <f t="shared" ref="A4:A21" si="0">(B4&amp;"-"&amp;C4)</f>
        <v>Conservador-PAPEL</v>
      </c>
      <c r="B4" s="1" t="s">
        <v>31</v>
      </c>
      <c r="C4" s="1" t="s">
        <v>23</v>
      </c>
      <c r="D4" s="2">
        <v>0.3</v>
      </c>
    </row>
    <row r="5" spans="1:4" s="5" customFormat="1" ht="16.95" customHeight="1" x14ac:dyDescent="0.25">
      <c r="A5" s="4" t="str">
        <f t="shared" si="0"/>
        <v>Conservador-TIJOLO</v>
      </c>
      <c r="B5" s="1" t="s">
        <v>31</v>
      </c>
      <c r="C5" s="1" t="s">
        <v>24</v>
      </c>
      <c r="D5" s="2">
        <v>0.5</v>
      </c>
    </row>
    <row r="6" spans="1:4" s="5" customFormat="1" ht="16.95" customHeight="1" x14ac:dyDescent="0.25">
      <c r="A6" s="4" t="str">
        <f t="shared" si="0"/>
        <v>Conservador-HÍBRIDO</v>
      </c>
      <c r="B6" s="1" t="s">
        <v>31</v>
      </c>
      <c r="C6" s="1" t="s">
        <v>25</v>
      </c>
      <c r="D6" s="2">
        <v>0.1</v>
      </c>
    </row>
    <row r="7" spans="1:4" s="5" customFormat="1" ht="16.95" customHeight="1" x14ac:dyDescent="0.25">
      <c r="A7" s="4" t="str">
        <f t="shared" si="0"/>
        <v>Conservador-FOFs</v>
      </c>
      <c r="B7" s="1" t="s">
        <v>31</v>
      </c>
      <c r="C7" s="1" t="s">
        <v>26</v>
      </c>
      <c r="D7" s="2">
        <v>0.1</v>
      </c>
    </row>
    <row r="8" spans="1:4" s="5" customFormat="1" ht="16.95" customHeight="1" x14ac:dyDescent="0.25">
      <c r="A8" s="4" t="str">
        <f t="shared" si="0"/>
        <v>Conservador-DESENVOLVIMENTO</v>
      </c>
      <c r="B8" s="1" t="s">
        <v>31</v>
      </c>
      <c r="C8" s="1" t="s">
        <v>27</v>
      </c>
      <c r="D8" s="2">
        <v>0</v>
      </c>
    </row>
    <row r="9" spans="1:4" s="5" customFormat="1" ht="16.95" customHeight="1" x14ac:dyDescent="0.25">
      <c r="A9" s="4" t="str">
        <f t="shared" si="0"/>
        <v>Conservador-HOTELARIAS</v>
      </c>
      <c r="B9" s="1" t="s">
        <v>31</v>
      </c>
      <c r="C9" s="1" t="s">
        <v>28</v>
      </c>
      <c r="D9" s="2">
        <v>0</v>
      </c>
    </row>
    <row r="10" spans="1:4" ht="16.95" customHeight="1" x14ac:dyDescent="0.25">
      <c r="A10" s="6" t="str">
        <f t="shared" si="0"/>
        <v>Moderado-PAPEL</v>
      </c>
      <c r="B10" s="7" t="s">
        <v>18</v>
      </c>
      <c r="C10" s="7" t="s">
        <v>23</v>
      </c>
      <c r="D10" s="8">
        <v>0.32</v>
      </c>
    </row>
    <row r="11" spans="1:4" ht="16.95" customHeight="1" x14ac:dyDescent="0.25">
      <c r="A11" s="4" t="str">
        <f t="shared" si="0"/>
        <v>Moderado-TIJOLO</v>
      </c>
      <c r="B11" s="1" t="s">
        <v>18</v>
      </c>
      <c r="C11" s="1" t="s">
        <v>24</v>
      </c>
      <c r="D11" s="2">
        <v>0.35</v>
      </c>
    </row>
    <row r="12" spans="1:4" ht="16.95" customHeight="1" x14ac:dyDescent="0.25">
      <c r="A12" s="4" t="str">
        <f t="shared" si="0"/>
        <v>Moderado-HÍBRIDO</v>
      </c>
      <c r="B12" s="1" t="s">
        <v>18</v>
      </c>
      <c r="C12" s="1" t="s">
        <v>25</v>
      </c>
      <c r="D12" s="2">
        <v>0.08</v>
      </c>
    </row>
    <row r="13" spans="1:4" ht="16.95" customHeight="1" x14ac:dyDescent="0.25">
      <c r="A13" s="4" t="str">
        <f t="shared" si="0"/>
        <v>Moderado-FOFs</v>
      </c>
      <c r="B13" s="1" t="s">
        <v>18</v>
      </c>
      <c r="C13" s="1" t="s">
        <v>26</v>
      </c>
      <c r="D13" s="2">
        <v>0.05</v>
      </c>
    </row>
    <row r="14" spans="1:4" ht="16.95" customHeight="1" x14ac:dyDescent="0.25">
      <c r="A14" s="4" t="str">
        <f t="shared" si="0"/>
        <v>Moderado-DESENVOLVIMENTO</v>
      </c>
      <c r="B14" s="1" t="s">
        <v>18</v>
      </c>
      <c r="C14" s="1" t="s">
        <v>27</v>
      </c>
      <c r="D14" s="2">
        <v>0.1</v>
      </c>
    </row>
    <row r="15" spans="1:4" ht="16.95" customHeight="1" x14ac:dyDescent="0.25">
      <c r="A15" s="4" t="str">
        <f t="shared" si="0"/>
        <v>Moderado-HOTELARIAS</v>
      </c>
      <c r="B15" s="1" t="s">
        <v>18</v>
      </c>
      <c r="C15" s="1" t="s">
        <v>28</v>
      </c>
      <c r="D15" s="2">
        <v>0.1</v>
      </c>
    </row>
    <row r="16" spans="1:4" ht="16.95" customHeight="1" x14ac:dyDescent="0.25">
      <c r="A16" s="6" t="str">
        <f t="shared" si="0"/>
        <v>Agressivo-PAPEL</v>
      </c>
      <c r="B16" s="7" t="s">
        <v>32</v>
      </c>
      <c r="C16" s="7" t="s">
        <v>23</v>
      </c>
      <c r="D16" s="8">
        <v>0.5</v>
      </c>
    </row>
    <row r="17" spans="1:4" ht="16.95" customHeight="1" x14ac:dyDescent="0.25">
      <c r="A17" s="4" t="str">
        <f t="shared" si="0"/>
        <v>Agressivo-TIJOLO</v>
      </c>
      <c r="B17" s="1" t="s">
        <v>32</v>
      </c>
      <c r="C17" s="1" t="s">
        <v>24</v>
      </c>
      <c r="D17" s="2">
        <v>0.1</v>
      </c>
    </row>
    <row r="18" spans="1:4" ht="16.95" customHeight="1" x14ac:dyDescent="0.25">
      <c r="A18" s="4" t="str">
        <f t="shared" si="0"/>
        <v>Agressivo-HÍBRIDO</v>
      </c>
      <c r="B18" s="1" t="s">
        <v>32</v>
      </c>
      <c r="C18" s="1" t="s">
        <v>25</v>
      </c>
      <c r="D18" s="2">
        <v>0.05</v>
      </c>
    </row>
    <row r="19" spans="1:4" ht="16.95" customHeight="1" x14ac:dyDescent="0.25">
      <c r="A19" s="4" t="str">
        <f t="shared" si="0"/>
        <v>Agressivo-FOFs</v>
      </c>
      <c r="B19" s="1" t="s">
        <v>32</v>
      </c>
      <c r="C19" s="1" t="s">
        <v>26</v>
      </c>
      <c r="D19" s="2">
        <v>0.05</v>
      </c>
    </row>
    <row r="20" spans="1:4" ht="16.95" customHeight="1" x14ac:dyDescent="0.25">
      <c r="A20" s="4" t="str">
        <f t="shared" si="0"/>
        <v>Agressivo-DESENVOLVIMENTO</v>
      </c>
      <c r="B20" s="1" t="s">
        <v>32</v>
      </c>
      <c r="C20" s="1" t="s">
        <v>27</v>
      </c>
      <c r="D20" s="2">
        <v>0.2</v>
      </c>
    </row>
    <row r="21" spans="1:4" ht="16.95" customHeight="1" x14ac:dyDescent="0.25">
      <c r="A21" s="4" t="str">
        <f t="shared" si="0"/>
        <v>Agressivo-HOTELARIAS</v>
      </c>
      <c r="B21" s="1" t="s">
        <v>32</v>
      </c>
      <c r="C21" s="1" t="s">
        <v>28</v>
      </c>
      <c r="D21" s="2">
        <v>0.1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218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APP</vt:lpstr>
      <vt:lpstr>Planilha2</vt:lpstr>
      <vt:lpstr>aporte</vt:lpstr>
      <vt:lpstr>qtde_anos</vt:lpstr>
      <vt:lpstr>rendimento_carteira</vt:lpstr>
      <vt:lpstr>salario</vt:lpstr>
      <vt:lpstr>sugestao_investimento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Plotter</dc:creator>
  <dc:description/>
  <cp:lastModifiedBy>Plotter</cp:lastModifiedBy>
  <cp:revision>14</cp:revision>
  <dcterms:created xsi:type="dcterms:W3CDTF">2026-01-27T14:08:17Z</dcterms:created>
  <dcterms:modified xsi:type="dcterms:W3CDTF">2026-02-15T12:39:31Z</dcterms:modified>
  <dc:language>pt-BR</dc:language>
</cp:coreProperties>
</file>